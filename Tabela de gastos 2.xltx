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Gráf2" sheetId="1" state="visible" r:id="rId3"/>
    <sheet name="Gráf1" sheetId="2" state="visible" r:id="rId4"/>
    <sheet name="Gráf3" sheetId="3" state="visible" r:id="rId5"/>
    <sheet name="Plan1" sheetId="4" state="visible" r:id="rId6"/>
    <sheet name="Planilha5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<sst xmlns="http://schemas.openxmlformats.org/spreadsheetml/2006/main" count="50" uniqueCount="44">
  <si>
    <t xml:space="preserve">Mês</t>
  </si>
  <si>
    <t xml:space="preserve">fevereiro</t>
  </si>
  <si>
    <t xml:space="preserve">março</t>
  </si>
  <si>
    <t xml:space="preserve">abril</t>
  </si>
  <si>
    <t xml:space="preserve">maio</t>
  </si>
  <si>
    <t xml:space="preserve">junho</t>
  </si>
  <si>
    <t xml:space="preserve">julho</t>
  </si>
  <si>
    <t xml:space="preserve">agosto</t>
  </si>
  <si>
    <t xml:space="preserve">janeiro</t>
  </si>
  <si>
    <t xml:space="preserve">Junho</t>
  </si>
  <si>
    <t xml:space="preserve">Julho</t>
  </si>
  <si>
    <t xml:space="preserve">setembro</t>
  </si>
  <si>
    <t xml:space="preserve">outubro</t>
  </si>
  <si>
    <t xml:space="preserve">novembro</t>
  </si>
  <si>
    <t xml:space="preserve">dezembro</t>
  </si>
  <si>
    <t xml:space="preserve">Janeiro</t>
  </si>
  <si>
    <t xml:space="preserve">Cartão Assai</t>
  </si>
  <si>
    <t xml:space="preserve">Credicard</t>
  </si>
  <si>
    <t xml:space="preserve">Cartão Sansung</t>
  </si>
  <si>
    <t xml:space="preserve">Cartão ML</t>
  </si>
  <si>
    <t xml:space="preserve">Cartão Amazon</t>
  </si>
  <si>
    <t xml:space="preserve">TOTAL 1</t>
  </si>
  <si>
    <t xml:space="preserve">Corte Cabelo</t>
  </si>
  <si>
    <t xml:space="preserve">Plano saúde</t>
  </si>
  <si>
    <t xml:space="preserve">Luz Boqueirão 20</t>
  </si>
  <si>
    <t xml:space="preserve">Aguá Boqueirão 19</t>
  </si>
  <si>
    <t xml:space="preserve">Internet OK</t>
  </si>
  <si>
    <t xml:space="preserve">Escola Carlinhos</t>
  </si>
  <si>
    <t xml:space="preserve">iptu/foro</t>
  </si>
  <si>
    <t xml:space="preserve">youtube</t>
  </si>
  <si>
    <t xml:space="preserve">NetFlix</t>
  </si>
  <si>
    <t xml:space="preserve">Prime video</t>
  </si>
  <si>
    <t xml:space="preserve">Saúde Lagos</t>
  </si>
  <si>
    <t xml:space="preserve">Almoço 4 cia</t>
  </si>
  <si>
    <t xml:space="preserve">Vivo celular</t>
  </si>
  <si>
    <t xml:space="preserve">Seguro</t>
  </si>
  <si>
    <t xml:space="preserve">Gas cozinha</t>
  </si>
  <si>
    <t xml:space="preserve">Academia Meiry</t>
  </si>
  <si>
    <t xml:space="preserve">Viva Kids</t>
  </si>
  <si>
    <t xml:space="preserve">Grama Marcos/Ines</t>
  </si>
  <si>
    <t xml:space="preserve">Dízimo</t>
  </si>
  <si>
    <t xml:space="preserve">Faculdade Meiry</t>
  </si>
  <si>
    <t xml:space="preserve">TOTAL 2</t>
  </si>
  <si>
    <t xml:space="preserve">Soma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</si>
</sst>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[$R$-416]\ #,##0.00;[RED]\-[$R$-416]\ #,##0.00"/>
    <numFmt numFmtId="166" formatCode="gyyyyyy&quot;al&quot;"/>
    <numFmt numFmtId="167" formatCode="&quot;R$ &quot;#,##0.00"/>
    <numFmt numFmtId="168" formatCode="&quot;R$ &quot;#,##0.00;[RED]&quot;-R$ &quot;#,##0.00"/>
  </numFmts>
  <fonts count="19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i val="true"/>
      <u val="single"/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name val="Arial"/>
      <family val="2"/>
    </font>
    <font>
      <b val="true"/>
      <sz val="12"/>
      <color rgb="FF000000"/>
      <name val="Calibri"/>
      <family val="2"/>
    </font>
    <font>
      <b val="true"/>
      <sz val="11"/>
      <color rgb="FF000000"/>
      <name val="Calibri"/>
      <family val="2"/>
    </font>
    <font>
      <sz val="11"/>
      <color rgb="FF00CC33"/>
      <name val="Calibri"/>
      <family val="2"/>
    </font>
    <font>
      <sz val="11"/>
      <color rgb="FFACB20C"/>
      <name val="Calibri"/>
      <family val="2"/>
    </font>
    <font>
      <sz val="11"/>
      <color rgb="FFFF3333"/>
      <name val="Calibri"/>
      <family val="2"/>
    </font>
    <font>
      <b val="true"/>
      <sz val="11"/>
      <color rgb="FFFF00FF"/>
      <name val="Calibri"/>
      <family val="2"/>
    </font>
    <font>
      <sz val="11"/>
      <color rgb="FFFF00FF"/>
      <name val="Calibri"/>
      <family val="2"/>
    </font>
    <font>
      <sz val="11"/>
      <color rgb="FF780373"/>
      <name val="Calibri"/>
      <family val="2"/>
    </font>
    <font>
      <b val="true"/>
      <sz val="11"/>
      <color rgb="FFFF3300"/>
      <name val="Calibri"/>
      <family val="2"/>
    </font>
    <font>
      <sz val="11"/>
      <color rgb="FF3333FF"/>
      <name val="Calibri"/>
      <family val="2"/>
    </font>
    <font>
      <b val="true"/>
      <sz val="11"/>
      <color rgb="FF0000FF"/>
      <name val="Calibri"/>
      <family val="2"/>
    </font>
    <font>
      <sz val="11"/>
      <color rgb="FF0000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DDDDDD"/>
        <bgColor rgb="FFEEEEEE"/>
      </patternFill>
    </fill>
    <fill>
      <patternFill patternType="solid">
        <fgColor rgb="FF8EB4E3"/>
        <bgColor rgb="FF93A9CE"/>
      </patternFill>
    </fill>
    <fill>
      <patternFill patternType="solid">
        <fgColor rgb="FFFFFF00"/>
        <bgColor rgb="FFFFFF00"/>
      </patternFill>
    </fill>
    <fill>
      <patternFill patternType="solid">
        <fgColor rgb="FFFF9999"/>
        <bgColor rgb="FFD09493"/>
      </patternFill>
    </fill>
    <fill>
      <patternFill patternType="solid">
        <fgColor rgb="FFEEEEEE"/>
        <bgColor rgb="FFDDDDDD"/>
      </patternFill>
    </fill>
  </fills>
  <borders count="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9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9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4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4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9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3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5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5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6" fillId="5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5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9" fillId="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9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1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8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4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4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6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6" borderId="6" xfId="0" applyFont="fals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Resultado2" xfId="20"/>
  </cellStyles>
  <colors>
    <indexedColors>
      <rgbColor rgb="FF000000"/>
      <rgbColor rgb="FFEEEEEE"/>
      <rgbColor rgb="FFFF3300"/>
      <rgbColor rgb="FF00CC33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780373"/>
      <rgbColor rgb="FF008080"/>
      <rgbColor rgb="FFC0C0C0"/>
      <rgbColor rgb="FF878787"/>
      <rgbColor rgb="FF93A9CE"/>
      <rgbColor rgb="FFAB4744"/>
      <rgbColor rgb="FFFFFFCC"/>
      <rgbColor rgb="FFCCFFFF"/>
      <rgbColor rgb="FF660066"/>
      <rgbColor rgb="FFDC853E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99"/>
      <rgbColor rgb="FFD09493"/>
      <rgbColor rgb="FFFFCC99"/>
      <rgbColor rgb="FF4672A8"/>
      <rgbColor rgb="FF33CCCC"/>
      <rgbColor rgb="FFACB20C"/>
      <rgbColor rgb="FFFFCC00"/>
      <rgbColor rgb="FFFF9900"/>
      <rgbColor rgb="FFFF3333"/>
      <rgbColor rgb="FF725990"/>
      <rgbColor rgb="FF8AA64F"/>
      <rgbColor rgb="FF003366"/>
      <rgbColor rgb="FF4299B0"/>
      <rgbColor rgb="FF003300"/>
      <rgbColor rgb="FF333300"/>
      <rgbColor rgb="FF993300"/>
      <rgbColor rgb="FF993366"/>
      <rgbColor rgb="FF3333FF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Plan1!$B$1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672a8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Plan1!$B$2:$B$24</c:f>
              <c:numCache>
                <c:formatCode>General</c:formatCode>
                <c:ptCount val="23"/>
              </c:numCache>
            </c:numRef>
          </c:val>
        </c:ser>
        <c:ser>
          <c:idx val="1"/>
          <c:order val="1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ab4744"/>
            </a:solidFill>
            <a:ln w="0">
              <a:noFill/>
            </a:ln>
          </c:spPr>
          <c:invertIfNegative val="0"/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Plan1!$C$2:$C$24</c:f>
              <c:numCache>
                <c:formatCode>General</c:formatCode>
                <c:ptCount val="0"/>
              </c:numCache>
            </c:numRef>
          </c:val>
        </c:ser>
        <c:ser>
          <c:idx val="2"/>
          <c:order val="2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8aa64f"/>
            </a:solidFill>
            <a:ln w="0">
              <a:noFill/>
            </a:ln>
          </c:spPr>
          <c:invertIfNegative val="0"/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Plan1!$C$2:$C$24</c:f>
              <c:numCache>
                <c:formatCode>General</c:formatCode>
                <c:ptCount val="0"/>
              </c:numCache>
            </c:numRef>
          </c:val>
        </c:ser>
        <c:ser>
          <c:idx val="3"/>
          <c:order val="3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725990"/>
            </a:solidFill>
            <a:ln w="0">
              <a:noFill/>
            </a:ln>
          </c:spPr>
          <c:invertIfNegative val="0"/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Plan1!$C$2:$C$24</c:f>
              <c:numCache>
                <c:formatCode>General</c:formatCode>
                <c:ptCount val="0"/>
              </c:numCache>
            </c:numRef>
          </c:val>
        </c:ser>
        <c:ser>
          <c:idx val="4"/>
          <c:order val="4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4299b0"/>
            </a:solidFill>
            <a:ln w="0">
              <a:noFill/>
            </a:ln>
          </c:spPr>
          <c:invertIfNegative val="0"/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Plan1!$C$2:$C$24</c:f>
              <c:numCache>
                <c:formatCode>General</c:formatCode>
                <c:ptCount val="0"/>
              </c:numCache>
            </c:numRef>
          </c:val>
        </c:ser>
        <c:ser>
          <c:idx val="5"/>
          <c:order val="5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dc853e"/>
            </a:solidFill>
            <a:ln w="0">
              <a:noFill/>
            </a:ln>
          </c:spPr>
          <c:invertIfNegative val="0"/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Plan1!$C$2:$C$24</c:f>
              <c:numCache>
                <c:formatCode>General</c:formatCode>
                <c:ptCount val="0"/>
              </c:numCache>
            </c:numRef>
          </c:val>
        </c:ser>
        <c:ser>
          <c:idx val="6"/>
          <c:order val="6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93a9ce"/>
            </a:solidFill>
            <a:ln w="0">
              <a:noFill/>
            </a:ln>
          </c:spPr>
          <c:invertIfNegative val="0"/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Plan1!$C$2:$C$24</c:f>
              <c:numCache>
                <c:formatCode>General</c:formatCode>
                <c:ptCount val="0"/>
              </c:numCache>
            </c:numRef>
          </c:val>
        </c:ser>
        <c:ser>
          <c:idx val="7"/>
          <c:order val="7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d09493"/>
            </a:solidFill>
            <a:ln w="0">
              <a:noFill/>
            </a:ln>
          </c:spPr>
          <c:invertIfNegative val="0"/>
          <c:cat>
            <c:strRef>
              <c:f>Plan1!$A$2:$A$24</c:f>
              <c:strCache>
                <c:ptCount val="23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  <c:pt idx="22">
                  <c:v>Viva Kids</c:v>
                </c:pt>
              </c:strCache>
            </c:strRef>
          </c:cat>
          <c:val>
            <c:numRef>
              <c:f>Plan1!$C$2:$C$24</c:f>
              <c:numCache>
                <c:formatCode>General</c:formatCode>
                <c:ptCount val="0"/>
              </c:numCache>
            </c:numRef>
          </c:val>
        </c:ser>
        <c:gapWidth val="150"/>
        <c:overlap val="0"/>
        <c:axId val="29371728"/>
        <c:axId val="73624663"/>
      </c:barChart>
      <c:catAx>
        <c:axId val="2937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73624663"/>
        <c:crosses val="autoZero"/>
        <c:auto val="1"/>
        <c:lblAlgn val="ctr"/>
        <c:lblOffset val="100"/>
        <c:noMultiLvlLbl val="0"/>
      </c:catAx>
      <c:valAx>
        <c:axId val="73624663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yyyyyy&quot;al&quot;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2937172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trike="noStrike" u="none">
              <a:uFillTx/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Plan1!$B$1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672a8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Plan1!$B$2:$B$23</c:f>
              <c:numCache>
                <c:formatCode>General</c:formatCode>
                <c:ptCount val="22"/>
              </c:numCache>
            </c:numRef>
          </c:val>
        </c:ser>
        <c:ser>
          <c:idx val="1"/>
          <c:order val="1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ab4744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2"/>
          <c:order val="2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8aa64f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3"/>
          <c:order val="3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725990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4"/>
          <c:order val="4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4299b0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5"/>
          <c:order val="5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dc853e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6"/>
          <c:order val="6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93a9ce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7"/>
          <c:order val="7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d09493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gapWidth val="150"/>
        <c:overlap val="0"/>
        <c:axId val="10420824"/>
        <c:axId val="84446099"/>
      </c:barChart>
      <c:catAx>
        <c:axId val="1042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84446099"/>
        <c:crosses val="autoZero"/>
        <c:auto val="1"/>
        <c:lblAlgn val="ctr"/>
        <c:lblOffset val="100"/>
        <c:noMultiLvlLbl val="0"/>
      </c:catAx>
      <c:valAx>
        <c:axId val="8444609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yyyyyy&quot;al&quot;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10420824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trike="noStrike" u="none">
              <a:uFillTx/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Plan1!$B$1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672a8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trike="noStrike" u="none">
                    <a:uFillTx/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Plan1!$B$2:$B$23</c:f>
              <c:numCache>
                <c:formatCode>General</c:formatCode>
                <c:ptCount val="22"/>
              </c:numCache>
            </c:numRef>
          </c:val>
        </c:ser>
        <c:ser>
          <c:idx val="1"/>
          <c:order val="1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ab4744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2"/>
          <c:order val="2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8aa64f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3"/>
          <c:order val="3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725990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4"/>
          <c:order val="4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4299b0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5"/>
          <c:order val="5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dc853e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6"/>
          <c:order val="6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93a9ce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ser>
          <c:idx val="7"/>
          <c:order val="7"/>
          <c:tx>
            <c:strRef>
              <c:f>Plan1!$C$1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rgbClr val="d09493"/>
            </a:solidFill>
            <a:ln w="0">
              <a:noFill/>
            </a:ln>
          </c:spPr>
          <c:invertIfNegative val="0"/>
          <c:cat>
            <c:strRef>
              <c:f>Plan1!$A$2:$A$23</c:f>
              <c:strCache>
                <c:ptCount val="22"/>
                <c:pt idx="0">
                  <c:v>Cartão Assai</c:v>
                </c:pt>
                <c:pt idx="1">
                  <c:v>Credicard</c:v>
                </c:pt>
                <c:pt idx="2">
                  <c:v>Cartão Sansung</c:v>
                </c:pt>
                <c:pt idx="3">
                  <c:v>Cartão ML</c:v>
                </c:pt>
                <c:pt idx="4">
                  <c:v>Cartão Amazon</c:v>
                </c:pt>
                <c:pt idx="5">
                  <c:v>TOTAL 1</c:v>
                </c:pt>
                <c:pt idx="6">
                  <c:v>Corte Cabelo</c:v>
                </c:pt>
                <c:pt idx="7">
                  <c:v>Plano saúde</c:v>
                </c:pt>
                <c:pt idx="8">
                  <c:v>Luz Boqueirão 20</c:v>
                </c:pt>
                <c:pt idx="9">
                  <c:v>Aguá Boqueirão 19</c:v>
                </c:pt>
                <c:pt idx="10">
                  <c:v>Internet OK</c:v>
                </c:pt>
                <c:pt idx="11">
                  <c:v>Escola Carlinhos</c:v>
                </c:pt>
                <c:pt idx="12">
                  <c:v>iptu/foro</c:v>
                </c:pt>
                <c:pt idx="13">
                  <c:v>youtube</c:v>
                </c:pt>
                <c:pt idx="14">
                  <c:v>NetFlix</c:v>
                </c:pt>
                <c:pt idx="15">
                  <c:v>Prime video</c:v>
                </c:pt>
                <c:pt idx="16">
                  <c:v>Saúde Lagos</c:v>
                </c:pt>
                <c:pt idx="17">
                  <c:v>Almoço 4 cia</c:v>
                </c:pt>
                <c:pt idx="18">
                  <c:v>Vivo celular</c:v>
                </c:pt>
                <c:pt idx="19">
                  <c:v>Seguro</c:v>
                </c:pt>
                <c:pt idx="20">
                  <c:v>Gas cozinha</c:v>
                </c:pt>
                <c:pt idx="21">
                  <c:v>Academia Meiry</c:v>
                </c:pt>
              </c:strCache>
            </c:strRef>
          </c:cat>
          <c:val>
            <c:numRef>
              <c:f>Plan1!$C$2:$C$23</c:f>
              <c:numCache>
                <c:formatCode>General</c:formatCode>
                <c:ptCount val="0"/>
              </c:numCache>
            </c:numRef>
          </c:val>
        </c:ser>
        <c:gapWidth val="150"/>
        <c:overlap val="0"/>
        <c:axId val="75242722"/>
        <c:axId val="73971411"/>
      </c:barChart>
      <c:catAx>
        <c:axId val="7524272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73971411"/>
        <c:crosses val="autoZero"/>
        <c:auto val="1"/>
        <c:lblAlgn val="ctr"/>
        <c:lblOffset val="100"/>
        <c:noMultiLvlLbl val="0"/>
      </c:catAx>
      <c:valAx>
        <c:axId val="7397141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yyyyyy&quot;al&quot;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75242722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trike="noStrike" u="none">
              <a:uFillTx/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162720</xdr:colOff>
      <xdr:row>0</xdr:row>
      <xdr:rowOff>0</xdr:rowOff>
    </xdr:from>
    <xdr:to>
      <xdr:col>18</xdr:col>
      <xdr:colOff>411840</xdr:colOff>
      <xdr:row>36</xdr:row>
      <xdr:rowOff>94680</xdr:rowOff>
    </xdr:to>
    <xdr:graphicFrame>
      <xdr:nvGraphicFramePr>
        <xdr:cNvPr id="0" name="Gráfico 1"/>
        <xdr:cNvGraphicFramePr/>
      </xdr:nvGraphicFramePr>
      <xdr:xfrm>
        <a:off x="1412280" y="0"/>
        <a:ext cx="10246680" cy="6404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162720</xdr:colOff>
      <xdr:row>0</xdr:row>
      <xdr:rowOff>0</xdr:rowOff>
    </xdr:from>
    <xdr:to>
      <xdr:col>18</xdr:col>
      <xdr:colOff>411840</xdr:colOff>
      <xdr:row>36</xdr:row>
      <xdr:rowOff>94680</xdr:rowOff>
    </xdr:to>
    <xdr:graphicFrame>
      <xdr:nvGraphicFramePr>
        <xdr:cNvPr id="1" name="Gráfico 1"/>
        <xdr:cNvGraphicFramePr/>
      </xdr:nvGraphicFramePr>
      <xdr:xfrm>
        <a:off x="1412280" y="0"/>
        <a:ext cx="10246680" cy="6404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162720</xdr:colOff>
      <xdr:row>0</xdr:row>
      <xdr:rowOff>0</xdr:rowOff>
    </xdr:from>
    <xdr:to>
      <xdr:col>18</xdr:col>
      <xdr:colOff>411840</xdr:colOff>
      <xdr:row>36</xdr:row>
      <xdr:rowOff>94680</xdr:rowOff>
    </xdr:to>
    <xdr:graphicFrame>
      <xdr:nvGraphicFramePr>
        <xdr:cNvPr id="2" name="Gráfico 1"/>
        <xdr:cNvGraphicFramePr/>
      </xdr:nvGraphicFramePr>
      <xdr:xfrm>
        <a:off x="1412280" y="0"/>
        <a:ext cx="10246680" cy="6404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11.53515625" defaultRowHeight="13.8" customHeight="true" zeroHeight="false" outlineLevelRow="0" outlineLevelCol="0"/>
  <cols>
    <col collapsed="false" customWidth="true" hidden="false" outlineLevel="0" max="64" min="1" style="0" width="8.87"/>
  </cols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11.53515625" defaultRowHeight="13.8" customHeight="true" zeroHeight="false" outlineLevelRow="0" outlineLevelCol="0"/>
  <cols>
    <col collapsed="false" customWidth="true" hidden="false" outlineLevel="0" max="64" min="1" style="0" width="8.87"/>
  </cols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11.53515625" defaultRowHeight="13.8" customHeight="true" zeroHeight="false" outlineLevelRow="0" outlineLevelCol="0"/>
  <cols>
    <col collapsed="false" customWidth="true" hidden="false" outlineLevel="0" max="64" min="1" style="0" width="8.87"/>
  </cols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30"/>
  <sheetViews>
    <sheetView showFormulas="false" showGridLines="true" showRowColHeaders="true" showZeros="true" rightToLeft="false" tabSelected="true" showOutlineSymbols="true" defaultGridColor="true" view="normal" topLeftCell="A13" colorId="64" zoomScale="85" zoomScaleNormal="85" zoomScalePageLayoutView="100" workbookViewId="0">
      <selection pane="topLeft" activeCell="N26" activeCellId="0" sqref="N26"/>
    </sheetView>
  </sheetViews>
  <sheetFormatPr defaultColWidth="11.53515625" defaultRowHeight="13.8" customHeight="true" zeroHeight="false" outlineLevelRow="0" outlineLevelCol="0"/>
  <cols>
    <col collapsed="false" customWidth="true" hidden="false" outlineLevel="0" max="1" min="1" style="1" width="8.76"/>
    <col collapsed="false" customWidth="true" hidden="false" outlineLevel="0" max="2" min="2" style="1" width="14.25"/>
    <col collapsed="false" customWidth="true" hidden="true" outlineLevel="0" max="3" min="3" style="2" width="16.86"/>
    <col collapsed="false" customWidth="true" hidden="true" outlineLevel="0" max="4" min="4" style="3" width="14.78"/>
    <col collapsed="false" customWidth="true" hidden="true" outlineLevel="0" max="5" min="5" style="0" width="14.52"/>
    <col collapsed="false" customWidth="true" hidden="true" outlineLevel="0" max="6" min="6" style="0" width="16.34"/>
    <col collapsed="false" customWidth="true" hidden="true" outlineLevel="0" max="7" min="7" style="0" width="13.6"/>
    <col collapsed="false" customWidth="true" hidden="true" outlineLevel="0" max="8" min="8" style="0" width="15.3"/>
    <col collapsed="false" customWidth="true" hidden="true" outlineLevel="0" max="9" min="9" style="0" width="1.31"/>
    <col collapsed="false" customWidth="true" hidden="false" outlineLevel="0" max="10" min="10" style="0" width="13.62"/>
    <col collapsed="false" customWidth="true" hidden="false" outlineLevel="0" max="11" min="11" style="0" width="16.32"/>
    <col collapsed="false" customWidth="true" hidden="false" outlineLevel="0" max="12" min="12" style="4" width="16.86"/>
    <col collapsed="false" customWidth="true" hidden="false" outlineLevel="0" max="13" min="13" style="0" width="17.19"/>
    <col collapsed="false" customWidth="true" hidden="false" outlineLevel="0" max="16" min="14" style="0" width="16.97"/>
    <col collapsed="false" customWidth="true" hidden="false" outlineLevel="0" max="17" min="17" style="0" width="17.39"/>
    <col collapsed="false" customWidth="true" hidden="false" outlineLevel="0" max="18" min="18" style="0" width="17.51"/>
    <col collapsed="false" customWidth="true" hidden="false" outlineLevel="0" max="19" min="19" style="0" width="20.92"/>
    <col collapsed="false" customWidth="true" hidden="false" outlineLevel="0" max="20" min="20" style="0" width="17.65"/>
    <col collapsed="false" customWidth="true" hidden="false" outlineLevel="0" max="21" min="21" style="0" width="17.77"/>
    <col collapsed="false" customWidth="true" hidden="false" outlineLevel="0" max="23" min="22" style="0" width="17.39"/>
    <col collapsed="false" customWidth="true" hidden="false" outlineLevel="0" max="46" min="24" style="0" width="8.65"/>
  </cols>
  <sheetData>
    <row r="1" customFormat="false" ht="38.1" hidden="false" customHeight="true" outlineLevel="0" collapsed="false">
      <c r="A1" s="5" t="s">
        <v>0</v>
      </c>
      <c r="B1" s="5"/>
      <c r="C1" s="6" t="s">
        <v>1</v>
      </c>
      <c r="D1" s="7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8" t="s">
        <v>8</v>
      </c>
      <c r="K1" s="8" t="s">
        <v>1</v>
      </c>
      <c r="L1" s="9" t="s">
        <v>2</v>
      </c>
      <c r="M1" s="9" t="s">
        <v>3</v>
      </c>
      <c r="N1" s="9" t="s">
        <v>4</v>
      </c>
      <c r="O1" s="9" t="s">
        <v>9</v>
      </c>
      <c r="P1" s="9" t="s">
        <v>10</v>
      </c>
      <c r="Q1" s="9" t="s">
        <v>7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</v>
      </c>
    </row>
    <row r="2" customFormat="false" ht="38.1" hidden="false" customHeight="true" outlineLevel="0" collapsed="false">
      <c r="A2" s="10" t="s">
        <v>16</v>
      </c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 t="n">
        <v>1359.3</v>
      </c>
      <c r="N2" s="11"/>
      <c r="O2" s="11"/>
      <c r="P2" s="12"/>
      <c r="Q2" s="12"/>
      <c r="R2" s="12"/>
      <c r="S2" s="12"/>
      <c r="T2" s="12"/>
      <c r="U2" s="12"/>
      <c r="V2" s="12"/>
      <c r="W2" s="12"/>
    </row>
    <row r="3" customFormat="false" ht="38.1" hidden="false" customHeight="true" outlineLevel="0" collapsed="false">
      <c r="A3" s="10" t="s">
        <v>17</v>
      </c>
      <c r="B3" s="10"/>
      <c r="C3" s="11"/>
      <c r="D3" s="11"/>
      <c r="E3" s="11"/>
      <c r="F3" s="11"/>
      <c r="G3" s="11"/>
      <c r="H3" s="11"/>
      <c r="I3" s="11"/>
      <c r="J3" s="11"/>
      <c r="K3" s="11" t="n">
        <v>4890.48</v>
      </c>
      <c r="L3" s="11" t="n">
        <v>2624.25</v>
      </c>
      <c r="M3" s="11" t="n">
        <v>2270.49</v>
      </c>
      <c r="N3" s="11"/>
      <c r="O3" s="11"/>
      <c r="P3" s="12"/>
      <c r="Q3" s="12"/>
      <c r="R3" s="12"/>
      <c r="S3" s="12"/>
      <c r="T3" s="12"/>
      <c r="U3" s="12"/>
      <c r="V3" s="12"/>
      <c r="W3" s="12"/>
    </row>
    <row r="4" customFormat="false" ht="38.1" hidden="false" customHeight="true" outlineLevel="0" collapsed="false">
      <c r="A4" s="10" t="s">
        <v>18</v>
      </c>
      <c r="B4" s="10"/>
      <c r="C4" s="11"/>
      <c r="D4" s="11"/>
      <c r="E4" s="11"/>
      <c r="F4" s="11"/>
      <c r="G4" s="11"/>
      <c r="H4" s="11"/>
      <c r="I4" s="11"/>
      <c r="J4" s="12"/>
      <c r="K4" s="12" t="n">
        <v>3035.31</v>
      </c>
      <c r="L4" s="12" t="n">
        <v>2323.59</v>
      </c>
      <c r="M4" s="12" t="n">
        <v>2292.99</v>
      </c>
      <c r="N4" s="12"/>
      <c r="O4" s="12"/>
      <c r="P4" s="12"/>
      <c r="Q4" s="12"/>
      <c r="R4" s="12"/>
      <c r="S4" s="12"/>
      <c r="T4" s="12"/>
      <c r="U4" s="12"/>
      <c r="V4" s="12"/>
      <c r="W4" s="12"/>
    </row>
    <row r="5" customFormat="false" ht="38.1" hidden="false" customHeight="true" outlineLevel="0" collapsed="false">
      <c r="A5" s="10" t="s">
        <v>19</v>
      </c>
      <c r="B5" s="10"/>
      <c r="C5" s="11"/>
      <c r="D5" s="11"/>
      <c r="E5" s="11"/>
      <c r="F5" s="11"/>
      <c r="G5" s="11"/>
      <c r="H5" s="11"/>
      <c r="I5" s="11"/>
      <c r="J5" s="12"/>
      <c r="K5" s="12" t="n">
        <v>1220.81</v>
      </c>
      <c r="L5" s="12" t="n">
        <v>825.31</v>
      </c>
      <c r="M5" s="12" t="n">
        <v>596.97</v>
      </c>
      <c r="N5" s="12"/>
      <c r="O5" s="12"/>
      <c r="P5" s="12"/>
      <c r="Q5" s="12"/>
      <c r="R5" s="12"/>
      <c r="S5" s="12"/>
      <c r="T5" s="12"/>
      <c r="U5" s="12"/>
      <c r="V5" s="12"/>
      <c r="W5" s="12"/>
    </row>
    <row r="6" customFormat="false" ht="38.1" hidden="false" customHeight="true" outlineLevel="0" collapsed="false">
      <c r="A6" s="10" t="s">
        <v>20</v>
      </c>
      <c r="B6" s="10"/>
      <c r="C6" s="11"/>
      <c r="D6" s="11"/>
      <c r="E6" s="11"/>
      <c r="F6" s="11"/>
      <c r="G6" s="11"/>
      <c r="H6" s="11"/>
      <c r="I6" s="11"/>
      <c r="J6" s="12"/>
      <c r="K6" s="12" t="n">
        <v>94.55</v>
      </c>
      <c r="L6" s="12" t="n">
        <v>0</v>
      </c>
      <c r="M6" s="12" t="n">
        <v>57</v>
      </c>
      <c r="N6" s="12"/>
      <c r="O6" s="12"/>
      <c r="P6" s="12"/>
      <c r="Q6" s="12"/>
      <c r="R6" s="12"/>
      <c r="S6" s="12"/>
      <c r="T6" s="12"/>
      <c r="U6" s="12"/>
      <c r="V6" s="12"/>
      <c r="W6" s="12"/>
    </row>
    <row r="7" customFormat="false" ht="38.1" hidden="false" customHeight="true" outlineLevel="0" collapsed="false">
      <c r="A7" s="10" t="s">
        <v>21</v>
      </c>
      <c r="B7" s="10"/>
      <c r="C7" s="13"/>
      <c r="D7" s="14"/>
      <c r="E7" s="15"/>
      <c r="F7" s="15"/>
      <c r="G7" s="15"/>
      <c r="H7" s="15"/>
      <c r="I7" s="15"/>
      <c r="J7" s="16"/>
      <c r="K7" s="16" t="n">
        <f aca="false">SUM(K2:K6)</f>
        <v>9241.15</v>
      </c>
      <c r="L7" s="16" t="n">
        <f aca="false">SUM(L2:L6)</f>
        <v>5773.15</v>
      </c>
      <c r="M7" s="16" t="n">
        <f aca="false">SUM(M2:M6)</f>
        <v>6576.75</v>
      </c>
      <c r="N7" s="16" t="n">
        <f aca="false">SUM(N2:N6)</f>
        <v>0</v>
      </c>
      <c r="O7" s="16" t="n">
        <f aca="false">SUM(O2:O6)</f>
        <v>0</v>
      </c>
      <c r="P7" s="16" t="n">
        <f aca="false">SUM(P2:P6)</f>
        <v>0</v>
      </c>
      <c r="Q7" s="16" t="n">
        <f aca="false">SUM(Q2:Q6)</f>
        <v>0</v>
      </c>
      <c r="R7" s="16" t="n">
        <f aca="false">SUM(R2:R6)</f>
        <v>0</v>
      </c>
      <c r="S7" s="16" t="n">
        <f aca="false">SUM(S2:S6)</f>
        <v>0</v>
      </c>
      <c r="T7" s="16" t="n">
        <f aca="false">SUM(T2:T6)</f>
        <v>0</v>
      </c>
      <c r="U7" s="16" t="n">
        <f aca="false">SUM(U2:U6)</f>
        <v>0</v>
      </c>
      <c r="V7" s="16" t="n">
        <f aca="false">SUM(V2:V6)</f>
        <v>0</v>
      </c>
      <c r="W7" s="16" t="n">
        <f aca="false">SUM(W2:W6)</f>
        <v>0</v>
      </c>
    </row>
    <row r="8" customFormat="false" ht="38.1" hidden="false" customHeight="true" outlineLevel="0" collapsed="false">
      <c r="A8" s="10" t="s">
        <v>22</v>
      </c>
      <c r="B8" s="10"/>
      <c r="C8" s="11"/>
      <c r="D8" s="11"/>
      <c r="E8" s="11"/>
      <c r="F8" s="11"/>
      <c r="G8" s="11"/>
      <c r="H8" s="11"/>
      <c r="I8" s="11"/>
      <c r="J8" s="12"/>
      <c r="K8" s="12" t="n">
        <v>80</v>
      </c>
      <c r="L8" s="12" t="n">
        <v>80</v>
      </c>
      <c r="M8" s="12" t="n">
        <v>80</v>
      </c>
      <c r="N8" s="17" t="n">
        <v>80</v>
      </c>
      <c r="O8" s="17" t="n">
        <v>80</v>
      </c>
      <c r="P8" s="17" t="n">
        <v>80</v>
      </c>
      <c r="Q8" s="17" t="n">
        <v>80</v>
      </c>
      <c r="R8" s="17" t="n">
        <v>80</v>
      </c>
      <c r="S8" s="17" t="n">
        <v>80</v>
      </c>
      <c r="T8" s="17" t="n">
        <v>80</v>
      </c>
      <c r="U8" s="17" t="n">
        <v>100</v>
      </c>
      <c r="V8" s="17" t="n">
        <v>70</v>
      </c>
      <c r="W8" s="12"/>
    </row>
    <row r="9" customFormat="false" ht="38.1" hidden="false" customHeight="true" outlineLevel="0" collapsed="false">
      <c r="A9" s="10" t="s">
        <v>23</v>
      </c>
      <c r="B9" s="10"/>
      <c r="C9" s="11"/>
      <c r="D9" s="11"/>
      <c r="E9" s="11"/>
      <c r="F9" s="11"/>
      <c r="G9" s="11"/>
      <c r="H9" s="11"/>
      <c r="I9" s="11"/>
      <c r="J9" s="12"/>
      <c r="K9" s="12" t="n">
        <v>365.55</v>
      </c>
      <c r="L9" s="12" t="n">
        <v>365.55</v>
      </c>
      <c r="M9" s="12" t="n">
        <v>365.55</v>
      </c>
      <c r="N9" s="12"/>
      <c r="O9" s="12"/>
      <c r="P9" s="12"/>
      <c r="Q9" s="12"/>
      <c r="R9" s="12"/>
      <c r="S9" s="12"/>
      <c r="T9" s="12"/>
      <c r="U9" s="12"/>
      <c r="V9" s="12"/>
      <c r="W9" s="12"/>
    </row>
    <row r="10" customFormat="false" ht="38.1" hidden="false" customHeight="true" outlineLevel="0" collapsed="false">
      <c r="A10" s="10" t="s">
        <v>24</v>
      </c>
      <c r="B10" s="10"/>
      <c r="C10" s="11"/>
      <c r="D10" s="11"/>
      <c r="E10" s="11"/>
      <c r="F10" s="11"/>
      <c r="G10" s="11"/>
      <c r="H10" s="11"/>
      <c r="I10" s="11"/>
      <c r="J10" s="12"/>
      <c r="K10" s="12" t="n">
        <v>966.97</v>
      </c>
      <c r="L10" s="12" t="n">
        <v>970.3</v>
      </c>
      <c r="M10" s="12" t="n">
        <v>983.96</v>
      </c>
      <c r="N10" s="12"/>
      <c r="O10" s="12"/>
      <c r="P10" s="18"/>
      <c r="Q10" s="12"/>
      <c r="R10" s="12"/>
      <c r="S10" s="12"/>
      <c r="T10" s="12"/>
      <c r="U10" s="12"/>
      <c r="V10" s="12"/>
      <c r="W10" s="12"/>
    </row>
    <row r="11" customFormat="false" ht="38.1" hidden="false" customHeight="true" outlineLevel="0" collapsed="false">
      <c r="A11" s="10" t="s">
        <v>25</v>
      </c>
      <c r="B11" s="10"/>
      <c r="C11" s="11"/>
      <c r="D11" s="11"/>
      <c r="E11" s="11"/>
      <c r="F11" s="11"/>
      <c r="G11" s="11"/>
      <c r="H11" s="11"/>
      <c r="I11" s="11"/>
      <c r="J11" s="12"/>
      <c r="K11" s="12" t="n">
        <v>702.03</v>
      </c>
      <c r="L11" s="12" t="n">
        <v>391.21</v>
      </c>
      <c r="M11" s="12" t="n">
        <v>390</v>
      </c>
      <c r="N11" s="12"/>
      <c r="O11" s="12"/>
      <c r="P11" s="18"/>
      <c r="Q11" s="12"/>
      <c r="R11" s="12"/>
      <c r="S11" s="12"/>
      <c r="T11" s="12"/>
      <c r="U11" s="12"/>
      <c r="V11" s="12"/>
      <c r="W11" s="12"/>
    </row>
    <row r="12" customFormat="false" ht="38.1" hidden="false" customHeight="true" outlineLevel="0" collapsed="false">
      <c r="A12" s="10" t="s">
        <v>26</v>
      </c>
      <c r="B12" s="10"/>
      <c r="C12" s="11"/>
      <c r="D12" s="11"/>
      <c r="E12" s="11"/>
      <c r="F12" s="11"/>
      <c r="G12" s="11"/>
      <c r="H12" s="11"/>
      <c r="I12" s="11"/>
      <c r="J12" s="12"/>
      <c r="K12" s="12" t="n">
        <v>136.37</v>
      </c>
      <c r="L12" s="12" t="n">
        <v>136.37</v>
      </c>
      <c r="M12" s="12" t="n">
        <v>136.37</v>
      </c>
      <c r="N12" s="12" t="n">
        <v>136.37</v>
      </c>
      <c r="O12" s="12"/>
      <c r="P12" s="12"/>
      <c r="Q12" s="12"/>
      <c r="R12" s="12"/>
      <c r="S12" s="12"/>
      <c r="T12" s="12"/>
      <c r="U12" s="12"/>
      <c r="V12" s="12"/>
      <c r="W12" s="12"/>
    </row>
    <row r="13" customFormat="false" ht="38.1" hidden="false" customHeight="true" outlineLevel="0" collapsed="false">
      <c r="A13" s="10" t="s">
        <v>27</v>
      </c>
      <c r="B13" s="10"/>
      <c r="C13" s="19"/>
      <c r="D13" s="11"/>
      <c r="E13" s="11"/>
      <c r="F13" s="18"/>
      <c r="G13" s="18"/>
      <c r="H13" s="18"/>
      <c r="I13" s="18"/>
      <c r="J13" s="20"/>
      <c r="K13" s="12" t="n">
        <v>680</v>
      </c>
      <c r="L13" s="12" t="n">
        <v>680</v>
      </c>
      <c r="M13" s="12" t="n">
        <v>680</v>
      </c>
      <c r="N13" s="12" t="n">
        <v>680</v>
      </c>
      <c r="O13" s="12"/>
      <c r="P13" s="12"/>
      <c r="Q13" s="12"/>
      <c r="R13" s="12"/>
      <c r="S13" s="12"/>
      <c r="T13" s="12"/>
      <c r="U13" s="12"/>
      <c r="V13" s="12"/>
      <c r="W13" s="12"/>
    </row>
    <row r="14" customFormat="false" ht="38.1" hidden="false" customHeight="true" outlineLevel="0" collapsed="false">
      <c r="A14" s="10" t="s">
        <v>28</v>
      </c>
      <c r="B14" s="10"/>
      <c r="C14" s="21"/>
      <c r="D14" s="21"/>
      <c r="E14" s="11"/>
      <c r="F14" s="18"/>
      <c r="G14" s="11"/>
      <c r="H14" s="11"/>
      <c r="I14" s="18"/>
      <c r="J14" s="12"/>
      <c r="K14" s="12" t="n">
        <v>2517.49</v>
      </c>
      <c r="L14" s="12" t="n">
        <v>71.96</v>
      </c>
      <c r="M14" s="12" t="n">
        <v>71.96</v>
      </c>
      <c r="N14" s="12" t="n">
        <v>71.96</v>
      </c>
      <c r="O14" s="17" t="n">
        <v>71.96</v>
      </c>
      <c r="P14" s="17" t="n">
        <v>71.96</v>
      </c>
      <c r="Q14" s="17" t="n">
        <v>71.96</v>
      </c>
      <c r="R14" s="17" t="n">
        <v>71.96</v>
      </c>
      <c r="S14" s="17" t="n">
        <v>71.96</v>
      </c>
      <c r="T14" s="17" t="n">
        <v>71.96</v>
      </c>
      <c r="U14" s="17" t="n">
        <v>71.96</v>
      </c>
      <c r="V14" s="17" t="n">
        <v>71.96</v>
      </c>
      <c r="W14" s="12"/>
    </row>
    <row r="15" customFormat="false" ht="38.1" hidden="false" customHeight="true" outlineLevel="0" collapsed="false">
      <c r="A15" s="22" t="s">
        <v>29</v>
      </c>
      <c r="B15" s="22"/>
      <c r="C15" s="23"/>
      <c r="D15" s="24"/>
      <c r="E15" s="24"/>
      <c r="F15" s="18"/>
      <c r="G15" s="18"/>
      <c r="H15" s="18"/>
      <c r="I15" s="18"/>
      <c r="J15" s="20"/>
      <c r="K15" s="25" t="n">
        <v>66.8</v>
      </c>
      <c r="L15" s="25" t="n">
        <v>66.8</v>
      </c>
      <c r="M15" s="25" t="n">
        <v>41.9</v>
      </c>
      <c r="N15" s="25" t="n">
        <v>41.9</v>
      </c>
      <c r="O15" s="25" t="n">
        <v>41.9</v>
      </c>
      <c r="P15" s="25" t="n">
        <v>41.9</v>
      </c>
      <c r="Q15" s="25" t="n">
        <v>41.9</v>
      </c>
      <c r="R15" s="25" t="n">
        <v>41.9</v>
      </c>
      <c r="S15" s="25" t="n">
        <v>41.9</v>
      </c>
      <c r="T15" s="25" t="n">
        <v>41.9</v>
      </c>
      <c r="U15" s="25" t="n">
        <v>41.9</v>
      </c>
      <c r="V15" s="20"/>
      <c r="W15" s="20"/>
    </row>
    <row r="16" customFormat="false" ht="38.1" hidden="false" customHeight="true" outlineLevel="0" collapsed="false">
      <c r="A16" s="22" t="s">
        <v>30</v>
      </c>
      <c r="B16" s="22"/>
      <c r="C16" s="23"/>
      <c r="D16" s="24"/>
      <c r="E16" s="24"/>
      <c r="F16" s="18"/>
      <c r="G16" s="18"/>
      <c r="H16" s="18"/>
      <c r="I16" s="18"/>
      <c r="J16" s="20"/>
      <c r="K16" s="25" t="n">
        <v>68.8</v>
      </c>
      <c r="L16" s="25" t="n">
        <v>72.8</v>
      </c>
      <c r="M16" s="25" t="n">
        <v>72.8</v>
      </c>
      <c r="N16" s="25" t="n">
        <v>72.8</v>
      </c>
      <c r="O16" s="25" t="n">
        <v>72.8</v>
      </c>
      <c r="P16" s="25" t="n">
        <v>72.8</v>
      </c>
      <c r="Q16" s="25" t="n">
        <v>72.8</v>
      </c>
      <c r="R16" s="25" t="n">
        <v>72.8</v>
      </c>
      <c r="S16" s="25" t="n">
        <v>72.8</v>
      </c>
      <c r="T16" s="25" t="n">
        <v>72.8</v>
      </c>
      <c r="U16" s="25" t="n">
        <v>72.8</v>
      </c>
      <c r="V16" s="20"/>
      <c r="W16" s="20"/>
    </row>
    <row r="17" customFormat="false" ht="38.1" hidden="false" customHeight="true" outlineLevel="0" collapsed="false">
      <c r="A17" s="10" t="s">
        <v>31</v>
      </c>
      <c r="B17" s="10"/>
      <c r="C17" s="26"/>
      <c r="D17" s="27"/>
      <c r="E17" s="18"/>
      <c r="F17" s="18"/>
      <c r="G17" s="18"/>
      <c r="H17" s="18"/>
      <c r="I17" s="18"/>
      <c r="J17" s="18"/>
      <c r="K17" s="12"/>
      <c r="L17" s="12"/>
      <c r="M17" s="25" t="n">
        <v>166.8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</row>
    <row r="18" customFormat="false" ht="38.1" hidden="false" customHeight="true" outlineLevel="0" collapsed="false">
      <c r="A18" s="10" t="s">
        <v>32</v>
      </c>
      <c r="B18" s="10"/>
      <c r="C18" s="26"/>
      <c r="D18" s="27"/>
      <c r="E18" s="18"/>
      <c r="F18" s="18"/>
      <c r="G18" s="18"/>
      <c r="H18" s="18"/>
      <c r="I18" s="11"/>
      <c r="J18" s="12"/>
      <c r="K18" s="12" t="n">
        <v>39.9</v>
      </c>
      <c r="L18" s="12" t="n">
        <v>39.9</v>
      </c>
      <c r="M18" s="12" t="n">
        <v>39.9</v>
      </c>
      <c r="N18" s="12" t="n">
        <v>39.9</v>
      </c>
      <c r="O18" s="12"/>
      <c r="P18" s="12"/>
      <c r="Q18" s="12"/>
      <c r="R18" s="12"/>
      <c r="S18" s="12"/>
      <c r="T18" s="12"/>
      <c r="U18" s="12"/>
      <c r="V18" s="12"/>
      <c r="W18" s="12"/>
    </row>
    <row r="19" customFormat="false" ht="38.1" hidden="false" customHeight="true" outlineLevel="0" collapsed="false">
      <c r="A19" s="28" t="s">
        <v>33</v>
      </c>
      <c r="B19" s="28"/>
      <c r="C19" s="29"/>
      <c r="D19" s="29"/>
      <c r="E19" s="11"/>
      <c r="F19" s="18"/>
      <c r="G19" s="11"/>
      <c r="H19" s="11"/>
      <c r="I19" s="11"/>
      <c r="J19" s="12"/>
      <c r="K19" s="12"/>
      <c r="L19" s="12" t="n">
        <v>50</v>
      </c>
      <c r="M19" s="20" t="n">
        <v>0</v>
      </c>
      <c r="N19" s="20" t="n">
        <v>0</v>
      </c>
      <c r="O19" s="12"/>
      <c r="P19" s="12"/>
      <c r="Q19" s="12"/>
      <c r="R19" s="12"/>
      <c r="S19" s="12"/>
      <c r="T19" s="12"/>
      <c r="U19" s="30"/>
      <c r="V19" s="30"/>
      <c r="W19" s="12"/>
    </row>
    <row r="20" customFormat="false" ht="38.1" hidden="false" customHeight="true" outlineLevel="0" collapsed="false">
      <c r="A20" s="10" t="s">
        <v>34</v>
      </c>
      <c r="B20" s="10"/>
      <c r="C20" s="31"/>
      <c r="D20" s="32"/>
      <c r="E20" s="33"/>
      <c r="F20" s="34"/>
      <c r="G20" s="35"/>
      <c r="H20" s="36"/>
      <c r="I20" s="37"/>
      <c r="J20" s="18"/>
      <c r="K20" s="18"/>
      <c r="L20" s="12" t="n">
        <v>35</v>
      </c>
      <c r="M20" s="12" t="n">
        <v>35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</row>
    <row r="21" customFormat="false" ht="38.1" hidden="false" customHeight="true" outlineLevel="0" collapsed="false">
      <c r="A21" s="38" t="s">
        <v>35</v>
      </c>
      <c r="B21" s="38"/>
      <c r="C21" s="39"/>
      <c r="D21" s="19"/>
      <c r="E21" s="19"/>
      <c r="F21" s="19"/>
      <c r="G21" s="11"/>
      <c r="H21" s="11"/>
      <c r="I21" s="11"/>
      <c r="J21" s="25" t="n">
        <v>182.72</v>
      </c>
      <c r="K21" s="40"/>
      <c r="L21" s="40"/>
      <c r="M21" s="25" t="n">
        <v>146.58</v>
      </c>
      <c r="N21" s="25" t="n">
        <v>146.58</v>
      </c>
      <c r="O21" s="25" t="n">
        <v>146.58</v>
      </c>
      <c r="P21" s="25" t="n">
        <v>146.58</v>
      </c>
      <c r="Q21" s="25" t="n">
        <v>146.58</v>
      </c>
      <c r="R21" s="25" t="n">
        <v>146.58</v>
      </c>
      <c r="S21" s="25" t="n">
        <v>146.58</v>
      </c>
      <c r="T21" s="25" t="n">
        <v>146.58</v>
      </c>
      <c r="U21" s="25" t="n">
        <v>146.58</v>
      </c>
      <c r="V21" s="25" t="n">
        <v>146.58</v>
      </c>
      <c r="W21" s="25" t="n">
        <v>146.58</v>
      </c>
    </row>
    <row r="22" customFormat="false" ht="38.1" hidden="false" customHeight="true" outlineLevel="0" collapsed="false">
      <c r="A22" s="41" t="s">
        <v>36</v>
      </c>
      <c r="B22" s="41"/>
      <c r="C22" s="19"/>
      <c r="D22" s="19"/>
      <c r="E22" s="19"/>
      <c r="F22" s="19"/>
      <c r="G22" s="11"/>
      <c r="H22" s="11"/>
      <c r="I22" s="11"/>
      <c r="J22" s="18"/>
      <c r="K22" s="11" t="n">
        <v>75</v>
      </c>
      <c r="L22" s="12"/>
      <c r="M22" s="18"/>
      <c r="N22" s="18"/>
      <c r="O22" s="42"/>
      <c r="P22" s="18"/>
      <c r="Q22" s="18"/>
      <c r="R22" s="18"/>
      <c r="S22" s="18"/>
      <c r="T22" s="18"/>
      <c r="U22" s="18"/>
      <c r="V22" s="43"/>
      <c r="W22" s="43"/>
    </row>
    <row r="23" customFormat="false" ht="38.1" hidden="false" customHeight="true" outlineLevel="0" collapsed="false">
      <c r="A23" s="38" t="s">
        <v>37</v>
      </c>
      <c r="B23" s="38"/>
      <c r="C23" s="12"/>
      <c r="D23" s="12"/>
      <c r="E23" s="12"/>
      <c r="F23" s="19"/>
      <c r="G23" s="11"/>
      <c r="H23" s="11"/>
      <c r="I23" s="11"/>
      <c r="J23" s="11"/>
      <c r="K23" s="11"/>
      <c r="L23" s="12"/>
      <c r="M23" s="18"/>
      <c r="N23" s="18"/>
      <c r="O23" s="18"/>
      <c r="P23" s="18"/>
      <c r="Q23" s="18"/>
      <c r="R23" s="18"/>
      <c r="S23" s="12"/>
      <c r="T23" s="12"/>
      <c r="U23" s="12"/>
      <c r="V23" s="43"/>
      <c r="W23" s="43"/>
    </row>
    <row r="24" customFormat="false" ht="38.1" hidden="false" customHeight="true" outlineLevel="0" collapsed="false">
      <c r="A24" s="38" t="s">
        <v>38</v>
      </c>
      <c r="B24" s="38"/>
      <c r="C24" s="39"/>
      <c r="D24" s="27"/>
      <c r="E24" s="18"/>
      <c r="F24" s="18"/>
      <c r="G24" s="18"/>
      <c r="H24" s="18"/>
      <c r="I24" s="11"/>
      <c r="J24" s="12"/>
      <c r="K24" s="11" t="n">
        <v>90</v>
      </c>
      <c r="L24" s="11" t="n">
        <v>90</v>
      </c>
      <c r="M24" s="11" t="n">
        <v>90</v>
      </c>
      <c r="N24" s="11" t="n">
        <v>90</v>
      </c>
      <c r="O24" s="18"/>
      <c r="P24" s="18"/>
      <c r="Q24" s="18"/>
      <c r="R24" s="18"/>
      <c r="S24" s="12"/>
      <c r="T24" s="12"/>
      <c r="U24" s="12"/>
      <c r="V24" s="43"/>
      <c r="W24" s="43"/>
    </row>
    <row r="25" customFormat="false" ht="33.75" hidden="false" customHeight="true" outlineLevel="0" collapsed="false">
      <c r="A25" s="38" t="s">
        <v>39</v>
      </c>
      <c r="B25" s="38"/>
      <c r="C25" s="39"/>
      <c r="D25" s="27"/>
      <c r="E25" s="18"/>
      <c r="F25" s="18"/>
      <c r="G25" s="18"/>
      <c r="H25" s="18"/>
      <c r="I25" s="18"/>
      <c r="J25" s="40"/>
      <c r="K25" s="12"/>
      <c r="L25" s="12" t="n">
        <v>150</v>
      </c>
      <c r="M25" s="18"/>
      <c r="N25" s="18"/>
      <c r="O25" s="18"/>
      <c r="P25" s="18"/>
      <c r="Q25" s="12"/>
      <c r="R25" s="18"/>
      <c r="S25" s="12"/>
      <c r="T25" s="18"/>
      <c r="U25" s="18"/>
      <c r="V25" s="43"/>
      <c r="W25" s="43"/>
    </row>
    <row r="26" customFormat="false" ht="41.25" hidden="false" customHeight="true" outlineLevel="0" collapsed="false">
      <c r="A26" s="38" t="s">
        <v>40</v>
      </c>
      <c r="B26" s="38"/>
      <c r="C26" s="39"/>
      <c r="D26" s="27"/>
      <c r="E26" s="18"/>
      <c r="F26" s="18"/>
      <c r="G26" s="18"/>
      <c r="H26" s="18"/>
      <c r="I26" s="18"/>
      <c r="J26" s="18"/>
      <c r="K26" s="12"/>
      <c r="L26" s="12" t="n">
        <v>300</v>
      </c>
      <c r="M26" s="12" t="n">
        <v>300</v>
      </c>
      <c r="N26" s="12" t="n">
        <v>300</v>
      </c>
      <c r="O26" s="18"/>
      <c r="P26" s="18"/>
      <c r="Q26" s="18"/>
      <c r="R26" s="18"/>
      <c r="S26" s="18"/>
      <c r="T26" s="18"/>
      <c r="U26" s="18"/>
      <c r="V26" s="43"/>
      <c r="W26" s="43"/>
    </row>
    <row r="27" customFormat="false" ht="41.25" hidden="false" customHeight="true" outlineLevel="0" collapsed="false">
      <c r="A27" s="38" t="s">
        <v>41</v>
      </c>
      <c r="B27" s="38"/>
      <c r="C27" s="39"/>
      <c r="D27" s="27"/>
      <c r="E27" s="18"/>
      <c r="F27" s="18"/>
      <c r="G27" s="18"/>
      <c r="H27" s="18"/>
      <c r="I27" s="18"/>
      <c r="J27" s="12" t="n">
        <v>150</v>
      </c>
      <c r="K27" s="12" t="n">
        <v>150</v>
      </c>
      <c r="L27" s="12" t="n">
        <v>150</v>
      </c>
      <c r="M27" s="12" t="n">
        <v>150</v>
      </c>
      <c r="N27" s="12" t="n">
        <v>150</v>
      </c>
      <c r="O27" s="18"/>
      <c r="P27" s="18"/>
      <c r="Q27" s="18"/>
      <c r="R27" s="18"/>
      <c r="S27" s="18"/>
      <c r="T27" s="18"/>
      <c r="U27" s="18"/>
      <c r="V27" s="43"/>
      <c r="W27" s="43"/>
    </row>
    <row r="28" customFormat="false" ht="41.25" hidden="false" customHeight="true" outlineLevel="0" collapsed="false">
      <c r="A28" s="38"/>
      <c r="B28" s="38"/>
      <c r="C28" s="39"/>
      <c r="D28" s="27"/>
      <c r="E28" s="18"/>
      <c r="F28" s="18"/>
      <c r="G28" s="18"/>
      <c r="H28" s="18"/>
      <c r="I28" s="18"/>
      <c r="J28" s="18"/>
      <c r="K28" s="12"/>
      <c r="L28" s="12"/>
      <c r="M28" s="12"/>
      <c r="N28" s="18"/>
      <c r="O28" s="18"/>
      <c r="P28" s="18"/>
      <c r="Q28" s="18"/>
      <c r="R28" s="18"/>
      <c r="S28" s="18"/>
      <c r="T28" s="18"/>
      <c r="U28" s="18"/>
      <c r="V28" s="43"/>
      <c r="W28" s="43"/>
    </row>
    <row r="29" customFormat="false" ht="45.75" hidden="false" customHeight="true" outlineLevel="0" collapsed="false">
      <c r="A29" s="44" t="s">
        <v>42</v>
      </c>
      <c r="B29" s="44"/>
      <c r="C29" s="45" t="n">
        <f aca="false">SUM(C8:C25)</f>
        <v>0</v>
      </c>
      <c r="D29" s="46" t="n">
        <f aca="false">SUM(D8:D25)</f>
        <v>0</v>
      </c>
      <c r="E29" s="16" t="n">
        <f aca="false">SUM(E8:E25)</f>
        <v>0</v>
      </c>
      <c r="F29" s="16" t="n">
        <f aca="false">SUM(F8:F25)</f>
        <v>0</v>
      </c>
      <c r="G29" s="16" t="n">
        <f aca="false">SUM(G8:G25)</f>
        <v>0</v>
      </c>
      <c r="H29" s="16" t="n">
        <f aca="false">SUM(H8:H25)</f>
        <v>0</v>
      </c>
      <c r="I29" s="16" t="n">
        <f aca="false">SUM(I8:I25)</f>
        <v>0</v>
      </c>
      <c r="J29" s="16" t="n">
        <f aca="false">SUM(J8:J28)</f>
        <v>332.72</v>
      </c>
      <c r="K29" s="16" t="n">
        <f aca="false">SUM(K8:K28)</f>
        <v>5938.91</v>
      </c>
      <c r="L29" s="16" t="n">
        <f aca="false">SUM(L8:L28)</f>
        <v>3649.89</v>
      </c>
      <c r="M29" s="16" t="n">
        <f aca="false">SUM(M8:M28)</f>
        <v>3750.82</v>
      </c>
      <c r="N29" s="16" t="n">
        <f aca="false">SUM(N8:N28)</f>
        <v>1809.51</v>
      </c>
      <c r="O29" s="16" t="n">
        <f aca="false">SUM(O8:O28)</f>
        <v>413.24</v>
      </c>
      <c r="P29" s="16" t="n">
        <f aca="false">SUM(P8:P28)</f>
        <v>413.24</v>
      </c>
      <c r="Q29" s="16" t="n">
        <f aca="false">SUM(Q8:Q28)</f>
        <v>413.24</v>
      </c>
      <c r="R29" s="16" t="n">
        <f aca="false">SUM(R8:R28)</f>
        <v>413.24</v>
      </c>
      <c r="S29" s="16" t="n">
        <f aca="false">SUM(S8:S28)</f>
        <v>413.24</v>
      </c>
      <c r="T29" s="16" t="n">
        <f aca="false">SUM(T8:T28)</f>
        <v>413.24</v>
      </c>
      <c r="U29" s="16" t="n">
        <f aca="false">SUM(U8:U28)</f>
        <v>433.24</v>
      </c>
      <c r="V29" s="16" t="n">
        <f aca="false">SUM(V8:V28)</f>
        <v>288.54</v>
      </c>
      <c r="W29" s="16" t="n">
        <f aca="false">SUM(W8:W28)</f>
        <v>146.58</v>
      </c>
    </row>
    <row r="30" customFormat="false" ht="50.7" hidden="false" customHeight="true" outlineLevel="0" collapsed="false">
      <c r="A30" s="47" t="s">
        <v>43</v>
      </c>
      <c r="B30" s="47"/>
      <c r="C30" s="48" t="n">
        <f aca="false">SUM(C7+C29)</f>
        <v>0</v>
      </c>
      <c r="D30" s="48" t="n">
        <f aca="false">SUM(D7+D29)</f>
        <v>0</v>
      </c>
      <c r="E30" s="49" t="n">
        <f aca="false">SUM(E7+E29)</f>
        <v>0</v>
      </c>
      <c r="F30" s="49" t="n">
        <f aca="false">SUM(F7+F29)</f>
        <v>0</v>
      </c>
      <c r="G30" s="49" t="n">
        <f aca="false">SUM(G7+G29)</f>
        <v>0</v>
      </c>
      <c r="H30" s="49" t="n">
        <f aca="false">SUM(H7+H29)</f>
        <v>0</v>
      </c>
      <c r="I30" s="49" t="n">
        <f aca="false">SUM(I7+I29)</f>
        <v>0</v>
      </c>
      <c r="J30" s="49"/>
      <c r="K30" s="49" t="n">
        <f aca="false">SUM(K7+K29)</f>
        <v>15180.06</v>
      </c>
      <c r="L30" s="49" t="n">
        <f aca="false">SUM(L7+L29)</f>
        <v>9423.04</v>
      </c>
      <c r="M30" s="49" t="n">
        <f aca="false">SUM(M7+M29)</f>
        <v>10327.57</v>
      </c>
      <c r="N30" s="49" t="n">
        <f aca="false">SUM(N7+N29)</f>
        <v>1809.51</v>
      </c>
      <c r="O30" s="49" t="n">
        <f aca="false">SUM(O7+O29)</f>
        <v>413.24</v>
      </c>
      <c r="P30" s="49" t="n">
        <f aca="false">SUM(P7+P29)</f>
        <v>413.24</v>
      </c>
      <c r="Q30" s="49" t="n">
        <f aca="false">SUM(Q7+Q29)</f>
        <v>413.24</v>
      </c>
      <c r="R30" s="49" t="n">
        <f aca="false">SUM(R7+R29)</f>
        <v>413.24</v>
      </c>
      <c r="S30" s="49" t="n">
        <f aca="false">SUM(S7+S29)</f>
        <v>413.24</v>
      </c>
      <c r="T30" s="49" t="n">
        <f aca="false">SUM(T7+T29)</f>
        <v>413.24</v>
      </c>
      <c r="U30" s="49" t="n">
        <f aca="false">SUM(U7+U29)</f>
        <v>433.24</v>
      </c>
      <c r="V30" s="50"/>
      <c r="W30" s="50"/>
    </row>
  </sheetData>
  <mergeCells count="30"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64" min="1" style="0" width="8.65"/>
  </cols>
  <sheetData>
    <row r="1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8435</TotalTime>
  <Application>LibreOffice/25.2.2.2$Windows_X86_64 LibreOffice_project/7370d4be9e3cf6031a51beef54ff3bda878e3fac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2014-07-03T20:49:59Z</dcterms:created>
  <dc:creator>Carlos</dc:creator>
  <dc:description/>
  <dc:language>pt-BR</dc:language>
  <cp:lastModifiedBy/>
  <dcterms:modified xsi:type="dcterms:W3CDTF">2025-05-05T12:24:53Z</dcterms:modified>
  <cp:revision>722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